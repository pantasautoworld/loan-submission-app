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1780" yWindow="945" windowWidth="24030" windowHeight="19425"/>
  </bookViews>
  <sheets>
    <sheet sheetId="1" name="Autofill" state="visible" r:id="rId4"/>
  </sheets>
  <calcPr calcId="171027" fullCalcOnLoad="1"/>
</workbook>
</file>

<file path=xl/sharedStrings.xml><?xml version="1.0" encoding="utf-8"?>
<sst xmlns="http://schemas.openxmlformats.org/spreadsheetml/2006/main" count="99" uniqueCount="88">
  <si>
    <t>NEW E-Sub HP (04/02/2025) — Autofill Link Generator</t>
  </si>
  <si>
    <t>Base form URL:</t>
  </si>
  <si>
    <t>https://docs.google.com/forms/d/e/1FAIpQLSfHu650usGvcPJUP8ukpq_YHhVYGsaPHxdJpErXar8r6zyOTw/viewform</t>
  </si>
  <si>
    <t>Generated pre-filled link (copy this):</t>
  </si>
  <si>
    <t>Note: Excel's HYPERLINK button can't handle a link this long (it errors past 255 characters), so the box above is plain text instead. Click the box, select all the text (Ctrl+A then Ctrl+C, or right-click &gt; Copy), then paste it into your browser's address bar and press Enter — it will open the Google Form pre-filled.</t>
  </si>
  <si>
    <t>How to fill in the values below: 1) Edit the yellow Value cells for the fields you need (leave a field blank to skip it). 2) For multiple-choice fields, pick an option from the dropdown — it must match a form choice exactly. 3) Grey rows are file uploads and section titles — they can't be pre-filled; attach files manually when the form opens.</t>
  </si>
  <si>
    <t>Question</t>
  </si>
  <si>
    <t>Value (edit here)</t>
  </si>
  <si>
    <t>Notes / Allowed choices</t>
  </si>
  <si>
    <t>Entry ID</t>
  </si>
  <si>
    <t>Email</t>
  </si>
  <si>
    <t>kiwiautoworld@gmail.com</t>
  </si>
  <si>
    <t>Applicant's email — used to pre-fill the form's required Email question.</t>
  </si>
  <si>
    <t>emailAddress</t>
  </si>
  <si>
    <t>APPLICATION UNDER B7 SPECIAL PRIORITY :</t>
  </si>
  <si>
    <t>NO</t>
  </si>
  <si>
    <t xml:space="preserve">Choose one:
• YES (to attach B7 with validity period not exceeding 45 days)
• NO</t>
  </si>
  <si>
    <t>entry.2143709343</t>
  </si>
  <si>
    <t>APPLICATION UNDER B7 SPECIAL PRIORITY SCHEME :</t>
  </si>
  <si>
    <t>Attach B7 with validity period not exceeding 45 days :</t>
  </si>
  <si>
    <t>Cannot be pre-filled — attach this file manually in the form.</t>
  </si>
  <si>
    <t>entry.1640079056</t>
  </si>
  <si>
    <t>Application</t>
  </si>
  <si>
    <t>Dealer Company Name (Full) :-</t>
  </si>
  <si>
    <t>KIWI AUTOWORLD</t>
  </si>
  <si>
    <t>entry.372784497</t>
  </si>
  <si>
    <t>Contact Number :-</t>
  </si>
  <si>
    <t>016-2209393</t>
  </si>
  <si>
    <t>entry.1419132737</t>
  </si>
  <si>
    <t>Application Type</t>
  </si>
  <si>
    <t>New Applicant</t>
  </si>
  <si>
    <t xml:space="preserve">Choose one:
• New Applicant
• Change Car</t>
  </si>
  <si>
    <t>entry.2109409874</t>
  </si>
  <si>
    <t>Please do choose your respective submission application to :</t>
  </si>
  <si>
    <t xml:space="preserve">Choose one:
• Year Model 2011 to 2015
• Year Model 2016 &amp; above</t>
  </si>
  <si>
    <t>entry.1610212722</t>
  </si>
  <si>
    <t>Change Car</t>
  </si>
  <si>
    <t>New Application Form</t>
  </si>
  <si>
    <t xml:space="preserve">Choose one:
• Previous Car Number
• New Application Form
• New Registration Card (VOC)</t>
  </si>
  <si>
    <t>entry.1532753123</t>
  </si>
  <si>
    <t>Section 1 : Particular of Vehicle and Financing</t>
  </si>
  <si>
    <t>Vehicle Number : (Example: ABC 1234)*</t>
  </si>
  <si>
    <t>entry.166634297</t>
  </si>
  <si>
    <t>Vehicle Make :-</t>
  </si>
  <si>
    <t>entry.1258674821</t>
  </si>
  <si>
    <t>Vehicle Model :-</t>
  </si>
  <si>
    <t>entry.244597294</t>
  </si>
  <si>
    <t>Year of Make :-</t>
  </si>
  <si>
    <t>entry.1443242707</t>
  </si>
  <si>
    <t>Selling Price :-</t>
  </si>
  <si>
    <t>entry.339594431</t>
  </si>
  <si>
    <t>HP Loan Amount</t>
  </si>
  <si>
    <t>entry.133433436</t>
  </si>
  <si>
    <t>Tenure</t>
  </si>
  <si>
    <t xml:space="preserve">Choose one:
• 12 Months
• 18 Months
• 24 Months
• 30 Months
• 36 Months
• 42 Months
• 48 Months
• 54 Months
• 60 Months
• 66 Months
• 72 Months
• 78 Months
• 84 Months</t>
  </si>
  <si>
    <t>entry.1856707382</t>
  </si>
  <si>
    <t>Section II : Particular of Intending Hirer</t>
  </si>
  <si>
    <t>Full Name of Intending Hirer (As Per ID Card )</t>
  </si>
  <si>
    <t>entry.474854733</t>
  </si>
  <si>
    <t>New IC No.</t>
  </si>
  <si>
    <t>Format : 000000-00-0000</t>
  </si>
  <si>
    <t>entry.1464104889</t>
  </si>
  <si>
    <t>Old IC No.</t>
  </si>
  <si>
    <t>If NO, key in "N/A"</t>
  </si>
  <si>
    <t>entry.837212084</t>
  </si>
  <si>
    <t>Police ID / Retired Army ID</t>
  </si>
  <si>
    <t>entry.526172617</t>
  </si>
  <si>
    <t>EPF No.</t>
  </si>
  <si>
    <t>entry.1204207384</t>
  </si>
  <si>
    <t>TNB Account No.</t>
  </si>
  <si>
    <t>entry.1193076901</t>
  </si>
  <si>
    <t>Section III : Particulars of 1st Intending Guarantor</t>
  </si>
  <si>
    <t>Full Name of 1st Intending Guarantor (As per ID Card)</t>
  </si>
  <si>
    <t>entry.1381685339</t>
  </si>
  <si>
    <t>entry.1439526110</t>
  </si>
  <si>
    <t>entry.98848922</t>
  </si>
  <si>
    <t>entry.205984800</t>
  </si>
  <si>
    <t>Section IV : Particular of 2nd Intending Guarantor</t>
  </si>
  <si>
    <t>Full Name of 2nd Intending Guarantor (As per ID Card)</t>
  </si>
  <si>
    <t>entry.599344261</t>
  </si>
  <si>
    <t>entry.1262961773</t>
  </si>
  <si>
    <t>entry.29523865</t>
  </si>
  <si>
    <t>entry.1273981035</t>
  </si>
  <si>
    <t>Section V : Requirement of Document</t>
  </si>
  <si>
    <t>[ PART A ] Supporting Documents (only PDF File)</t>
  </si>
  <si>
    <t>entry.869410988</t>
  </si>
  <si>
    <t>[ PART B ] Supporting Documents (only PDF File)</t>
  </si>
  <si>
    <t>entry.819407400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</si>
</sst>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harset val="1"/>
      <color rgb="FF1F4E78"/>
      <sz val="14"/>
      <name val="Arial"/>
    </font>
    <font>
      <i/>
      <charset val="1"/>
      <sz val="9"/>
      <name val="Arial"/>
    </font>
    <font>
      <i/>
      <charset val="1"/>
      <color rgb="FF808080"/>
      <sz val="9"/>
      <name val="Arial"/>
    </font>
    <font>
      <b/>
      <charset val="1"/>
      <sz val="11"/>
      <name val="Arial"/>
    </font>
    <font>
      <u/>
      <charset val="1"/>
      <color theme="10"/>
      <family val="2"/>
      <sz val="11"/>
      <name val="Calibri"/>
    </font>
    <font>
      <b/>
      <charset val="1"/>
      <color rgb="FFFFFFFF"/>
      <sz val="10"/>
      <name val="Arial"/>
    </font>
    <font>
      <charset val="1"/>
      <sz val="10"/>
      <name val="Arial"/>
    </font>
    <font>
      <charset val="1"/>
      <color rgb="FF595959"/>
      <sz val="9"/>
      <name val="Arial"/>
    </font>
    <font>
      <charset val="1"/>
      <color rgb="FF808080"/>
      <sz val="9"/>
      <name val="Arial"/>
    </font>
    <font>
      <charset val="1"/>
      <color rgb="FFD9D9D9"/>
      <sz val="8"/>
      <name val="Arial"/>
    </font>
    <font>
      <b/>
      <charset val="1"/>
      <color rgb="FF1F4E78"/>
      <sz val="11"/>
      <name val="Arial"/>
    </font>
    <font>
      <charset val="1"/>
      <color theme="1"/>
      <family val="2"/>
      <sz val="11"/>
      <name val="Calibri"/>
    </font>
    <font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5" fillId="4" borderId="1" xfId="0" applyFont="1" applyFill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/>
    <xf numFmtId="0" fontId="10" fillId="0" borderId="0" xfId="0" applyFont="1"/>
    <xf numFmtId="0" fontId="7" fillId="4" borderId="1" xfId="0" applyFont="1" applyFill="1" applyBorder="1"/>
    <xf numFmtId="0" fontId="11" fillId="5" borderId="1" xfId="0" applyFont="1" applyFill="1" applyBorder="1" applyAlignment="1">
      <alignment vertical="center"/>
    </xf>
    <xf numFmtId="0" fontId="12" fillId="6" borderId="1" xfId="0" applyFont="1" applyFill="1" applyBorder="1"/>
    <xf numFmtId="0" fontId="3" fillId="0" borderId="1" xfId="0" applyFont="1" applyBorder="1" applyAlignment="1">
      <alignment vertical="top" wrapText="1"/>
    </xf>
    <xf numFmtId="1" fontId="7" fillId="4" borderId="1" xfId="0" applyNumberFormat="1" applyFont="1" applyFill="1" applyBorder="1"/>
    <xf numFmtId="0" fontId="13" fillId="4" borderId="1" xfId="0" applyFont="1" applyFill="1" applyBorder="1" applyAlignment="1">
      <alignment wrapText="1"/>
    </xf>
    <xf numFmtId="0" fontId="1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kiwiautoworl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 zoomScale="100" zoomScaleNormal="100">
      <pane ySplit="10" topLeftCell="A11" activePane="bottomLeft" state="frozen"/>
      <selection pane="bottomLeft" activeCell="B4" sqref="B4"/>
    </sheetView>
  </sheetViews>
  <sheetFormatPr defaultRowHeight="15" outlineLevelRow="0" outlineLevelCol="0" x14ac:dyDescent="0.25" defaultColWidth="8.7109375"/>
  <cols>
    <col min="1" max="1" width="46" customWidth="1"/>
    <col min="2" max="2" width="34" customWidth="1"/>
    <col min="3" max="3" width="40" customWidth="1"/>
    <col min="4" max="4" width="14" customWidth="1"/>
    <col min="5" max="5" width="4" hidden="1" customWidth="1"/>
  </cols>
  <sheetData>
    <row r="1" ht="1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3" t="s">
        <v>2</v>
      </c>
      <c r="C2" s="3"/>
      <c r="D2" s="3"/>
      <c r="E2" s="3"/>
    </row>
    <row r="4" ht="19.5" customHeight="1" spans="1:5" x14ac:dyDescent="0.25">
      <c r="A4" s="4" t="s">
        <v>3</v>
      </c>
      <c r="B4" s="5">
        <f>IFERROR($B$2&amp;"?usp=pp_url"&amp;E11&amp;E12&amp;E16&amp;E17&amp;E18&amp;E19&amp;E21&amp;E23&amp;E24&amp;E25&amp;E26&amp;E27&amp;E28&amp;E29&amp;E31&amp;E32&amp;E33&amp;E34&amp;E35&amp;E36&amp;E38&amp;E39&amp;E40&amp;E41&amp;E43&amp;E44&amp;E45&amp;E46,$B$2)</f>
      </c>
      <c r="C4" s="5"/>
      <c r="D4" s="5"/>
      <c r="E4" s="5"/>
    </row>
    <row r="5" ht="19.5" customHeight="1" spans="1:5" x14ac:dyDescent="0.25">
      <c r="A5" s="4"/>
      <c r="B5" s="6"/>
      <c r="C5" s="5"/>
      <c r="D5" s="5"/>
      <c r="E5" s="5"/>
    </row>
    <row r="6" ht="19.5" customHeight="1" spans="1:5" x14ac:dyDescent="0.25">
      <c r="A6" s="4"/>
      <c r="B6" s="6"/>
      <c r="C6" s="5"/>
      <c r="D6" s="5"/>
      <c r="E6" s="5"/>
    </row>
    <row r="7" ht="45.75" customHeight="1" spans="1:5" x14ac:dyDescent="0.25">
      <c r="A7" s="7" t="s">
        <v>4</v>
      </c>
      <c r="B7" s="7"/>
      <c r="C7" s="7"/>
      <c r="D7" s="7"/>
      <c r="E7" s="7"/>
    </row>
    <row r="8" ht="45.75" customHeight="1" spans="1:5" x14ac:dyDescent="0.25">
      <c r="A8" s="7" t="s">
        <v>5</v>
      </c>
      <c r="B8" s="7"/>
      <c r="C8" s="7"/>
      <c r="D8" s="7"/>
      <c r="E8" s="7"/>
    </row>
    <row r="10" spans="1:4" x14ac:dyDescent="0.25">
      <c r="A10" s="8" t="s">
        <v>6</v>
      </c>
      <c r="B10" s="8" t="s">
        <v>7</v>
      </c>
      <c r="C10" s="8" t="s">
        <v>8</v>
      </c>
      <c r="D10" s="8" t="s">
        <v>9</v>
      </c>
    </row>
    <row r="11" ht="24" customHeight="1" spans="1:5" x14ac:dyDescent="0.25">
      <c r="A11" s="9" t="s">
        <v>10</v>
      </c>
      <c r="B11" s="10" t="s">
        <v>11</v>
      </c>
      <c r="C11" s="11" t="s">
        <v>12</v>
      </c>
      <c r="D11" s="12" t="s">
        <v>13</v>
      </c>
      <c r="E11" s="13">
        <f>IFERROR(IF(B11&lt;&gt;"","&amp;emailAddress="&amp;SUBSTITUTE(SUBSTITUTE(SUBSTITUTE(B11,"&amp;","%26")," ","%20"),"#","%23"),""),"")</f>
      </c>
    </row>
    <row r="12" ht="48" customHeight="1" spans="1:5" x14ac:dyDescent="0.25">
      <c r="A12" s="9" t="s">
        <v>14</v>
      </c>
      <c r="B12" s="14" t="s">
        <v>15</v>
      </c>
      <c r="C12" s="11" t="s">
        <v>16</v>
      </c>
      <c r="D12" s="12" t="s">
        <v>17</v>
      </c>
      <c r="E12" s="13">
        <f>IFERROR(IF(B12&lt;&gt;"","&amp;entry.2143709343="&amp;SUBSTITUTE(SUBSTITUTE(SUBSTITUTE(B12,"&amp;","%26")," ","%20"),"#","%23"),""),"")</f>
      </c>
    </row>
    <row r="13" spans="1:4" x14ac:dyDescent="0.25">
      <c r="A13" s="15" t="s">
        <v>18</v>
      </c>
      <c r="B13" s="15"/>
      <c r="C13" s="15"/>
      <c r="D13" s="15"/>
    </row>
    <row r="14" ht="25.5" customHeight="1" spans="1:4" x14ac:dyDescent="0.25">
      <c r="A14" s="9" t="s">
        <v>19</v>
      </c>
      <c r="B14" s="16"/>
      <c r="C14" s="17" t="s">
        <v>20</v>
      </c>
      <c r="D14" s="12" t="s">
        <v>21</v>
      </c>
    </row>
    <row r="15" spans="1:4" x14ac:dyDescent="0.25">
      <c r="A15" s="15" t="s">
        <v>22</v>
      </c>
      <c r="B15" s="15"/>
      <c r="C15" s="15"/>
      <c r="D15" s="15"/>
    </row>
    <row r="16" spans="1:5" x14ac:dyDescent="0.25">
      <c r="A16" s="9" t="s">
        <v>23</v>
      </c>
      <c r="B16" s="14" t="s">
        <v>24</v>
      </c>
      <c r="C16" s="11"/>
      <c r="D16" s="12" t="s">
        <v>25</v>
      </c>
      <c r="E16" s="13">
        <f>IFERROR(IF(B16&lt;&gt;"","&amp;entry.372784497="&amp;SUBSTITUTE(SUBSTITUTE(SUBSTITUTE(B16,"&amp;","%26")," ","%20"),"#","%23"),""),"")</f>
      </c>
    </row>
    <row r="17" spans="1:5" x14ac:dyDescent="0.25">
      <c r="A17" s="9" t="s">
        <v>26</v>
      </c>
      <c r="B17" s="14" t="s">
        <v>27</v>
      </c>
      <c r="C17" s="11"/>
      <c r="D17" s="12" t="s">
        <v>28</v>
      </c>
      <c r="E17" s="13">
        <f>IFERROR(IF(B17&lt;&gt;"","&amp;entry.1419132737="&amp;SUBSTITUTE(SUBSTITUTE(SUBSTITUTE(B17,"&amp;","%26")," ","%20"),"#","%23"),""),"")</f>
      </c>
    </row>
    <row r="18" ht="48" customHeight="1" spans="1:5" x14ac:dyDescent="0.25">
      <c r="A18" s="9" t="s">
        <v>29</v>
      </c>
      <c r="B18" s="14" t="s">
        <v>30</v>
      </c>
      <c r="C18" s="11" t="s">
        <v>31</v>
      </c>
      <c r="D18" s="12" t="s">
        <v>32</v>
      </c>
      <c r="E18" s="13">
        <f>IFERROR(IF(B18&lt;&gt;"","&amp;entry.2109409874="&amp;SUBSTITUTE(SUBSTITUTE(SUBSTITUTE(B18,"&amp;","%26")," ","%20"),"#","%23"),""),"")</f>
      </c>
    </row>
    <row r="19" ht="48" customHeight="1" spans="1:5" x14ac:dyDescent="0.25">
      <c r="A19" s="9" t="s">
        <v>33</v>
      </c>
      <c r="B19" s="14"/>
      <c r="C19" s="11" t="s">
        <v>34</v>
      </c>
      <c r="D19" s="12" t="s">
        <v>35</v>
      </c>
      <c r="E19" s="13">
        <f>IFERROR(IF(B19&lt;&gt;"","&amp;entry.1610212722="&amp;SUBSTITUTE(SUBSTITUTE(SUBSTITUTE(B19,"&amp;","%26")," ","%20"),"#","%23"),""),"")</f>
      </c>
    </row>
    <row r="20" spans="1:4" x14ac:dyDescent="0.25">
      <c r="A20" s="15" t="s">
        <v>36</v>
      </c>
      <c r="B20" s="15"/>
      <c r="C20" s="15"/>
      <c r="D20" s="15"/>
    </row>
    <row r="21" ht="61.5" customHeight="1" spans="1:5" x14ac:dyDescent="0.25">
      <c r="A21" s="9" t="s">
        <v>36</v>
      </c>
      <c r="B21" s="14" t="s">
        <v>37</v>
      </c>
      <c r="C21" s="11" t="s">
        <v>38</v>
      </c>
      <c r="D21" s="12" t="s">
        <v>39</v>
      </c>
      <c r="E21" s="13">
        <f>IFERROR(IF(B21&lt;&gt;"","&amp;entry.1532753123="&amp;SUBSTITUTE(SUBSTITUTE(SUBSTITUTE(B21,"&amp;","%26")," ","%20"),"#","%23"),""),"")</f>
      </c>
    </row>
    <row r="22" spans="1:4" x14ac:dyDescent="0.25">
      <c r="A22" s="15" t="s">
        <v>40</v>
      </c>
      <c r="B22" s="15"/>
      <c r="C22" s="15"/>
      <c r="D22" s="15"/>
    </row>
    <row r="23" spans="1:5" x14ac:dyDescent="0.25">
      <c r="A23" s="9" t="s">
        <v>41</v>
      </c>
      <c r="B23" s="14"/>
      <c r="C23" s="11"/>
      <c r="D23" s="12" t="s">
        <v>42</v>
      </c>
      <c r="E23" s="13">
        <f>IFERROR(IF(B23&lt;&gt;"","&amp;entry.166634297="&amp;SUBSTITUTE(SUBSTITUTE(SUBSTITUTE(B23,"&amp;","%26")," ","%20"),"#","%23"),""),"")</f>
      </c>
    </row>
    <row r="24" spans="1:5" x14ac:dyDescent="0.25">
      <c r="A24" s="9" t="s">
        <v>43</v>
      </c>
      <c r="B24" s="14"/>
      <c r="C24" s="11"/>
      <c r="D24" s="12" t="s">
        <v>44</v>
      </c>
      <c r="E24" s="13">
        <f>IFERROR(IF(B24&lt;&gt;"","&amp;entry.1258674821="&amp;SUBSTITUTE(SUBSTITUTE(SUBSTITUTE(B24,"&amp;","%26")," ","%20"),"#","%23"),""),"")</f>
      </c>
    </row>
    <row r="25" spans="1:5" x14ac:dyDescent="0.25">
      <c r="A25" s="9" t="s">
        <v>45</v>
      </c>
      <c r="B25" s="14"/>
      <c r="C25" s="11"/>
      <c r="D25" s="12" t="s">
        <v>46</v>
      </c>
      <c r="E25" s="13">
        <f>IFERROR(IF(B25&lt;&gt;"","&amp;entry.244597294="&amp;SUBSTITUTE(SUBSTITUTE(SUBSTITUTE(B25,"&amp;","%26")," ","%20"),"#","%23"),""),"")</f>
      </c>
    </row>
    <row r="26" spans="1:5" x14ac:dyDescent="0.25">
      <c r="A26" s="9" t="s">
        <v>47</v>
      </c>
      <c r="B26" s="14"/>
      <c r="C26" s="11"/>
      <c r="D26" s="12" t="s">
        <v>48</v>
      </c>
      <c r="E26" s="13">
        <f>IFERROR(IF(B26&lt;&gt;"","&amp;entry.1443242707="&amp;SUBSTITUTE(SUBSTITUTE(SUBSTITUTE(B26,"&amp;","%26")," ","%20"),"#","%23"),""),"")</f>
      </c>
    </row>
    <row r="27" spans="1:5" x14ac:dyDescent="0.25">
      <c r="A27" s="9" t="s">
        <v>49</v>
      </c>
      <c r="B27" s="14"/>
      <c r="C27" s="11"/>
      <c r="D27" s="12" t="s">
        <v>50</v>
      </c>
      <c r="E27" s="13">
        <f>IFERROR(IF(B27&lt;&gt;"","&amp;entry.339594431="&amp;SUBSTITUTE(SUBSTITUTE(SUBSTITUTE(B27,"&amp;","%26")," ","%20"),"#","%23"),""),"")</f>
      </c>
    </row>
    <row r="28" spans="1:5" x14ac:dyDescent="0.25">
      <c r="A28" s="9" t="s">
        <v>51</v>
      </c>
      <c r="B28" s="14"/>
      <c r="C28" s="11"/>
      <c r="D28" s="12" t="s">
        <v>52</v>
      </c>
      <c r="E28" s="13">
        <f>IFERROR(IF(B28&lt;&gt;"","&amp;entry.133433436="&amp;SUBSTITUTE(SUBSTITUTE(SUBSTITUTE(B28,"&amp;","%26")," ","%20"),"#","%23"),""),"")</f>
      </c>
    </row>
    <row r="29" ht="201.75" customHeight="1" spans="1:5" x14ac:dyDescent="0.25">
      <c r="A29" s="9" t="s">
        <v>53</v>
      </c>
      <c r="B29" s="14"/>
      <c r="C29" s="11" t="s">
        <v>54</v>
      </c>
      <c r="D29" s="12" t="s">
        <v>55</v>
      </c>
      <c r="E29" s="13">
        <f>IFERROR(IF(B29&lt;&gt;"","&amp;entry.1856707382="&amp;SUBSTITUTE(SUBSTITUTE(SUBSTITUTE(B29,"&amp;","%26")," ","%20"),"#","%23"),""),"")</f>
      </c>
    </row>
    <row r="30" spans="1:4" x14ac:dyDescent="0.25">
      <c r="A30" s="15" t="s">
        <v>56</v>
      </c>
      <c r="B30" s="15"/>
      <c r="C30" s="15"/>
      <c r="D30" s="15"/>
    </row>
    <row r="31" spans="1:5" x14ac:dyDescent="0.25">
      <c r="A31" s="9" t="s">
        <v>57</v>
      </c>
      <c r="B31" s="14"/>
      <c r="C31" s="11"/>
      <c r="D31" s="12" t="s">
        <v>58</v>
      </c>
      <c r="E31" s="13">
        <f>IFERROR(IF(B31&lt;&gt;"","&amp;entry.474854733="&amp;SUBSTITUTE(SUBSTITUTE(SUBSTITUTE(B31,"&amp;","%26")," ","%20"),"#","%23"),""),"")</f>
      </c>
    </row>
    <row r="32" spans="1:5" x14ac:dyDescent="0.25">
      <c r="A32" s="9" t="s">
        <v>59</v>
      </c>
      <c r="B32" s="14"/>
      <c r="C32" s="11" t="s">
        <v>60</v>
      </c>
      <c r="D32" s="12" t="s">
        <v>61</v>
      </c>
      <c r="E32" s="13">
        <f>IFERROR(IF(B32&lt;&gt;"","&amp;entry.1464104889="&amp;SUBSTITUTE(SUBSTITUTE(SUBSTITUTE(B32,"&amp;","%26")," ","%20"),"#","%23"),""),"")</f>
      </c>
    </row>
    <row r="33" spans="1:5" x14ac:dyDescent="0.25">
      <c r="A33" s="9" t="s">
        <v>62</v>
      </c>
      <c r="B33" s="14"/>
      <c r="C33" s="11" t="s">
        <v>63</v>
      </c>
      <c r="D33" s="12" t="s">
        <v>64</v>
      </c>
      <c r="E33" s="13">
        <f>IFERROR(IF(B33&lt;&gt;"","&amp;entry.837212084="&amp;SUBSTITUTE(SUBSTITUTE(SUBSTITUTE(B33,"&amp;","%26")," ","%20"),"#","%23"),""),"")</f>
      </c>
    </row>
    <row r="34" spans="1:5" x14ac:dyDescent="0.25">
      <c r="A34" s="9" t="s">
        <v>65</v>
      </c>
      <c r="B34" s="14"/>
      <c r="C34" s="11" t="s">
        <v>63</v>
      </c>
      <c r="D34" s="12" t="s">
        <v>66</v>
      </c>
      <c r="E34" s="13">
        <f>IFERROR(IF(B34&lt;&gt;"","&amp;entry.526172617="&amp;SUBSTITUTE(SUBSTITUTE(SUBSTITUTE(B34,"&amp;","%26")," ","%20"),"#","%23"),""),"")</f>
      </c>
    </row>
    <row r="35" spans="1:5" x14ac:dyDescent="0.25">
      <c r="A35" s="9" t="s">
        <v>67</v>
      </c>
      <c r="B35" s="14"/>
      <c r="C35" s="11" t="s">
        <v>63</v>
      </c>
      <c r="D35" s="12" t="s">
        <v>68</v>
      </c>
      <c r="E35" s="13">
        <f>IFERROR(IF(B35&lt;&gt;"","&amp;entry.1204207384="&amp;SUBSTITUTE(SUBSTITUTE(SUBSTITUTE(B35,"&amp;","%26")," ","%20"),"#","%23"),""),"")</f>
      </c>
    </row>
    <row r="36" spans="1:5" x14ac:dyDescent="0.25">
      <c r="A36" s="9" t="s">
        <v>69</v>
      </c>
      <c r="B36" s="18"/>
      <c r="C36" s="11"/>
      <c r="D36" s="12" t="s">
        <v>70</v>
      </c>
      <c r="E36" s="13">
        <f>IFERROR(IF(B36&lt;&gt;"","&amp;entry.1193076901="&amp;SUBSTITUTE(SUBSTITUTE(SUBSTITUTE(B36,"&amp;","%26")," ","%20"),"#","%23"),""),"")</f>
      </c>
    </row>
    <row r="37" spans="1:4" x14ac:dyDescent="0.25">
      <c r="A37" s="15" t="s">
        <v>71</v>
      </c>
      <c r="B37" s="15"/>
      <c r="C37" s="15"/>
      <c r="D37" s="15"/>
    </row>
    <row r="38" ht="26.25" customHeight="1" spans="1:5" x14ac:dyDescent="0.25">
      <c r="A38" s="9" t="s">
        <v>72</v>
      </c>
      <c r="B38" s="19"/>
      <c r="C38" s="11"/>
      <c r="D38" s="12" t="s">
        <v>73</v>
      </c>
      <c r="E38" s="13">
        <f>IFERROR(IF(B38&lt;&gt;"","&amp;entry.1381685339="&amp;SUBSTITUTE(SUBSTITUTE(SUBSTITUTE(B38,"&amp;","%26")," ","%20"),"#","%23"),""),"")</f>
      </c>
    </row>
    <row r="39" spans="1:5" x14ac:dyDescent="0.25">
      <c r="A39" s="9" t="s">
        <v>59</v>
      </c>
      <c r="B39" s="20"/>
      <c r="C39" s="11"/>
      <c r="D39" s="12" t="s">
        <v>74</v>
      </c>
      <c r="E39" s="13">
        <f>IFERROR(IF(B39&lt;&gt;"","&amp;entry.1439526110="&amp;SUBSTITUTE(SUBSTITUTE(SUBSTITUTE(B39,"&amp;","%26")," ","%20"),"#","%23"),""),"")</f>
      </c>
    </row>
    <row r="40" spans="1:5" x14ac:dyDescent="0.25">
      <c r="A40" s="9" t="s">
        <v>62</v>
      </c>
      <c r="B40" s="20"/>
      <c r="C40" s="11"/>
      <c r="D40" s="12" t="s">
        <v>75</v>
      </c>
      <c r="E40" s="13">
        <f>IFERROR(IF(B40&lt;&gt;"","&amp;entry.98848922="&amp;SUBSTITUTE(SUBSTITUTE(SUBSTITUTE(B40,"&amp;","%26")," ","%20"),"#","%23"),""),"")</f>
      </c>
    </row>
    <row r="41" spans="1:5" x14ac:dyDescent="0.25">
      <c r="A41" s="9" t="s">
        <v>65</v>
      </c>
      <c r="B41" s="20"/>
      <c r="C41" s="11"/>
      <c r="D41" s="12" t="s">
        <v>76</v>
      </c>
      <c r="E41" s="13">
        <f>IFERROR(IF(B41&lt;&gt;"","&amp;entry.205984800="&amp;SUBSTITUTE(SUBSTITUTE(SUBSTITUTE(B41,"&amp;","%26")," ","%20"),"#","%23"),""),"")</f>
      </c>
    </row>
    <row r="42" spans="1:4" x14ac:dyDescent="0.25">
      <c r="A42" s="15" t="s">
        <v>77</v>
      </c>
      <c r="B42" s="15"/>
      <c r="C42" s="15"/>
      <c r="D42" s="15"/>
    </row>
    <row r="43" ht="25.5" customHeight="1" spans="1:5" x14ac:dyDescent="0.25">
      <c r="A43" s="9" t="s">
        <v>78</v>
      </c>
      <c r="B43" s="14"/>
      <c r="C43" s="11"/>
      <c r="D43" s="12" t="s">
        <v>79</v>
      </c>
      <c r="E43" s="13">
        <f>IFERROR(IF(B43&lt;&gt;"","&amp;entry.599344261="&amp;SUBSTITUTE(SUBSTITUTE(SUBSTITUTE(B43,"&amp;","%26")," ","%20"),"#","%23"),""),"")</f>
      </c>
    </row>
    <row r="44" spans="1:5" x14ac:dyDescent="0.25">
      <c r="A44" s="9" t="s">
        <v>59</v>
      </c>
      <c r="B44" s="14"/>
      <c r="C44" s="11"/>
      <c r="D44" s="12" t="s">
        <v>80</v>
      </c>
      <c r="E44" s="13">
        <f>IFERROR(IF(B44&lt;&gt;"","&amp;entry.1262961773="&amp;SUBSTITUTE(SUBSTITUTE(SUBSTITUTE(B44,"&amp;","%26")," ","%20"),"#","%23"),""),"")</f>
      </c>
    </row>
    <row r="45" spans="1:5" x14ac:dyDescent="0.25">
      <c r="A45" s="9" t="s">
        <v>62</v>
      </c>
      <c r="B45" s="14"/>
      <c r="C45" s="11"/>
      <c r="D45" s="12" t="s">
        <v>81</v>
      </c>
      <c r="E45" s="13">
        <f>IFERROR(IF(B45&lt;&gt;"","&amp;entry.29523865="&amp;SUBSTITUTE(SUBSTITUTE(SUBSTITUTE(B45,"&amp;","%26")," ","%20"),"#","%23"),""),"")</f>
      </c>
    </row>
    <row r="46" spans="1:5" x14ac:dyDescent="0.25">
      <c r="A46" s="9" t="s">
        <v>65</v>
      </c>
      <c r="B46" s="14"/>
      <c r="C46" s="11"/>
      <c r="D46" s="12" t="s">
        <v>82</v>
      </c>
      <c r="E46" s="13">
        <f>IFERROR(IF(B46&lt;&gt;"","&amp;entry.1273981035="&amp;SUBSTITUTE(SUBSTITUTE(SUBSTITUTE(B46,"&amp;","%26")," ","%20"),"#","%23"),""),"")</f>
      </c>
    </row>
    <row r="47" spans="1:4" x14ac:dyDescent="0.25">
      <c r="A47" s="15" t="s">
        <v>83</v>
      </c>
      <c r="B47" s="15"/>
      <c r="C47" s="15"/>
      <c r="D47" s="15"/>
    </row>
    <row r="48" ht="24" customHeight="1" spans="1:4" x14ac:dyDescent="0.25">
      <c r="A48" s="9" t="s">
        <v>84</v>
      </c>
      <c r="B48" s="16"/>
      <c r="C48" s="17" t="s">
        <v>20</v>
      </c>
      <c r="D48" s="12" t="s">
        <v>85</v>
      </c>
    </row>
    <row r="49" ht="24" customHeight="1" spans="1:4" x14ac:dyDescent="0.25">
      <c r="A49" s="9" t="s">
        <v>86</v>
      </c>
      <c r="B49" s="16"/>
      <c r="C49" s="17" t="s">
        <v>20</v>
      </c>
      <c r="D49" s="12" t="s">
        <v>87</v>
      </c>
    </row>
  </sheetData>
  <mergeCells count="14">
    <mergeCell ref="A1:E1"/>
    <mergeCell ref="B2:E2"/>
    <mergeCell ref="B4:E6"/>
    <mergeCell ref="A4:A6"/>
    <mergeCell ref="A7:E7"/>
    <mergeCell ref="A8:E8"/>
    <mergeCell ref="A13:D13"/>
    <mergeCell ref="A15:D15"/>
    <mergeCell ref="A20:D20"/>
    <mergeCell ref="A22:D22"/>
    <mergeCell ref="A30:D30"/>
    <mergeCell ref="A37:D37"/>
    <mergeCell ref="A42:D42"/>
    <mergeCell ref="A47:D47"/>
  </mergeCells>
  <dataValidations count="5">
    <dataValidation type="list" allowBlank="1" showInputMessage="1" promptTitle="Pick one" prompt="Choose an option from the list." sqref="B12">
      <formula1>"YES (to attach B7 with validity period not exceeding 45 days),NO"</formula1>
      <formula2>0</formula2>
    </dataValidation>
    <dataValidation type="list" allowBlank="1" showInputMessage="1" promptTitle="Pick one" prompt="Choose an option from the list." sqref="B18">
      <formula1>"New Applicant,Change Car"</formula1>
      <formula2>0</formula2>
    </dataValidation>
    <dataValidation type="list" allowBlank="1" showInputMessage="1" promptTitle="Pick one" prompt="Choose an option from the list." sqref="B19">
      <formula1>"Year Model 2011 to 2015,Year Model 2016 &amp; above"</formula1>
      <formula2>0</formula2>
    </dataValidation>
    <dataValidation type="list" allowBlank="1" showInputMessage="1" promptTitle="Pick one" prompt="Choose an option from the list." sqref="B21">
      <formula1>"Previous Car Number,New Application Form,New Registration Card (VOC)"</formula1>
      <formula2>0</formula2>
    </dataValidation>
    <dataValidation type="list" allowBlank="1" showInputMessage="1" promptTitle="Pick one" prompt="Choose an option from the list." sqref="B29">
      <formula1>"12 Months,18 Months,24 Months,30 Months,36 Months,42 Months,48 Months,54 Months,60 Months,66 Months,72 Months,78 Months,84 Months"</formula1>
      <formula2>0</formula2>
    </dataValidation>
  </dataValidations>
  <hyperlinks>
    <hyperlink ref="B11" r:id="rId1"/>
  </hyperlink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Pantas Autoworld</dc:creator>
  <dc:title/>
  <dc:subject/>
  <dc:description/>
  <dc:language>en-US</dc:language>
  <cp:lastModifiedBy>Pantas Autoworld</cp:lastModifiedBy>
  <dcterms:created xsi:type="dcterms:W3CDTF">2026-09-06T06:35:24Z</dcterms:created>
  <dcterms:modified xsi:type="dcterms:W3CDTF">2026-10-09T09:11:29Z</dcterms:modified>
</cp:coreProperties>
</file>